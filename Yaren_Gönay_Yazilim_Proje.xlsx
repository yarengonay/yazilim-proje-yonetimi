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7d00596af09534f/Desktop/"/>
    </mc:Choice>
  </mc:AlternateContent>
  <xr:revisionPtr revIDLastSave="8" documentId="14_{43202757-0D05-4C35-AC01-D3D061A8C500}" xr6:coauthVersionLast="47" xr6:coauthVersionMax="47" xr10:uidLastSave="{BE1B4488-2717-47B7-BAB5-BCC4C33CB9DA}"/>
  <bookViews>
    <workbookView xWindow="-108" yWindow="-108" windowWidth="23256" windowHeight="12456" firstSheet="2" activeTab="3" xr2:uid="{00000000-000D-0000-FFFF-FFFF00000000}"/>
  </bookViews>
  <sheets>
    <sheet name="Görev Kataloğu" sheetId="1" r:id="rId1"/>
    <sheet name="Zaman Kayıtları" sheetId="2" r:id="rId2"/>
    <sheet name="Analiz" sheetId="3" r:id="rId3"/>
    <sheet name="Yönetici Özeti" sheetId="4" r:id="rId4"/>
  </sheets>
  <definedNames>
    <definedName name="_xlchart.v1.0" hidden="1">Analiz!$A$10:$A$13</definedName>
    <definedName name="_xlchart.v1.1" hidden="1">Analiz!$G$10:$G$13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" l="1"/>
  <c r="A26" i="3" a="1"/>
  <c r="A26" i="3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B8" i="4" s="1"/>
  <c r="G18" i="2"/>
  <c r="B7" i="4" s="1"/>
  <c r="G19" i="2"/>
  <c r="B5" i="4" s="1"/>
  <c r="G20" i="2"/>
  <c r="G21" i="2"/>
  <c r="G22" i="2"/>
  <c r="G23" i="2"/>
  <c r="G24" i="2"/>
  <c r="G25" i="2"/>
  <c r="G26" i="2"/>
  <c r="G2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A26" i="4" a="1"/>
  <c r="A26" i="4" s="1"/>
  <c r="A20" i="4" a="1"/>
  <c r="A20" i="4" s="1"/>
  <c r="B6" i="4"/>
  <c r="B21" i="3"/>
  <c r="B19" i="3"/>
  <c r="C3" i="3"/>
  <c r="C4" i="3"/>
  <c r="C5" i="3"/>
  <c r="C6" i="3"/>
  <c r="B6" i="3"/>
  <c r="B5" i="3"/>
  <c r="B4" i="3"/>
  <c r="B3" i="3"/>
  <c r="D13" i="3" l="1"/>
  <c r="F13" i="3"/>
  <c r="B12" i="3"/>
  <c r="F12" i="3"/>
  <c r="C13" i="3"/>
  <c r="B11" i="3"/>
  <c r="E12" i="3"/>
  <c r="E13" i="3"/>
  <c r="B10" i="3"/>
  <c r="D12" i="3"/>
  <c r="B13" i="3"/>
  <c r="C11" i="3"/>
  <c r="F10" i="3"/>
  <c r="E10" i="3"/>
  <c r="C12" i="3"/>
  <c r="F11" i="3"/>
  <c r="B12" i="4"/>
  <c r="B15" i="4"/>
  <c r="B13" i="4"/>
  <c r="D10" i="3"/>
  <c r="C10" i="3"/>
  <c r="E11" i="3"/>
  <c r="D11" i="3"/>
  <c r="B14" i="4"/>
  <c r="B20" i="3"/>
  <c r="B18" i="3"/>
  <c r="G12" i="3" l="1"/>
  <c r="G13" i="3"/>
  <c r="C14" i="3"/>
  <c r="D14" i="3"/>
  <c r="E14" i="3"/>
  <c r="F14" i="3"/>
  <c r="B14" i="3"/>
  <c r="G10" i="3"/>
  <c r="G11" i="3"/>
  <c r="J18" i="3" l="1"/>
  <c r="J17" i="3"/>
  <c r="G1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<sst xmlns="http://schemas.openxmlformats.org/spreadsheetml/2006/main" count="238" uniqueCount="122">
  <si>
    <t>Görev ID</t>
  </si>
  <si>
    <t>Görev Adı</t>
  </si>
  <si>
    <t>Kategori</t>
  </si>
  <si>
    <t>Tahmini Süre</t>
  </si>
  <si>
    <t>Zorluk Seviyesi</t>
  </si>
  <si>
    <t>Frontend</t>
  </si>
  <si>
    <t>Tasarım</t>
  </si>
  <si>
    <t>Backend</t>
  </si>
  <si>
    <t>Veritabanı</t>
  </si>
  <si>
    <t>Test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</si>
  <si>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</si>
  <si>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</si>
  <si>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</si>
  <si>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</si>
  <si>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</si>
  <si>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</si>
  <si>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</si>
  <si>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</si>
  <si>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</si>
  <si>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</si>
  <si>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</si>
  <si>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</si>
  <si>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</si>
  <si>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</si>
  <si>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</si>
  <si>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 xml:space="preserve">Orta </t>
  </si>
  <si>
    <t>Düşük</t>
  </si>
  <si>
    <t>Yüksek</t>
  </si>
  <si>
    <t>Kullanıcı Kayıt Sayfası Kodlama</t>
  </si>
  <si>
    <t>Veritabanı Tablo Tasarımı</t>
  </si>
  <si>
    <t>Ana Menü Tasarımı</t>
  </si>
  <si>
    <t>API Entegrasyonu(Ödeme)</t>
  </si>
  <si>
    <t>Mobil Uygulama Logo Çizimi</t>
  </si>
  <si>
    <t>Şifre Sıfırlama Fonksiyonu</t>
  </si>
  <si>
    <t xml:space="preserve">Kullanıcı Profil Sayfası </t>
  </si>
  <si>
    <t>Veri Güvenliği  Testleri</t>
  </si>
  <si>
    <t>Dark Mode (Koyu Tema ) Yapımı</t>
  </si>
  <si>
    <t>Sunucu Konfigürasyonu</t>
  </si>
  <si>
    <t>Hata Bildirim Sistemi</t>
  </si>
  <si>
    <t>PDF Rapor Oluşturma Modülü</t>
  </si>
  <si>
    <t>İletişim Formu Tasarımı</t>
  </si>
  <si>
    <t>Arama Algoritması Yazımı</t>
  </si>
  <si>
    <t>Kullanım Kılavuzu Hazırlama</t>
  </si>
  <si>
    <t>Kayıt ID</t>
  </si>
  <si>
    <t>Tarih</t>
  </si>
  <si>
    <t>Harcanan Süre</t>
  </si>
  <si>
    <t>K001</t>
  </si>
  <si>
    <t>Harcanan Bütçe (TL)</t>
  </si>
  <si>
    <t>Çalışan Saat</t>
  </si>
  <si>
    <t>Saatlik Ücret</t>
  </si>
  <si>
    <t>Toplam Maliyet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</si>
  <si>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</si>
  <si>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</si>
  <si>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</si>
  <si>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</si>
  <si>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</si>
  <si>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</si>
  <si>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</si>
  <si>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</si>
  <si>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</si>
  <si>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</si>
  <si>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</si>
  <si>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</si>
  <si>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</si>
  <si>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</si>
  <si>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 xml:space="preserve">Görev ID Girin: </t>
  </si>
  <si>
    <t>Tahmini Süre:</t>
  </si>
  <si>
    <t>Kategori:</t>
  </si>
  <si>
    <t>Görev Adı:</t>
  </si>
  <si>
    <t>Mayıs</t>
  </si>
  <si>
    <t>Ocak</t>
  </si>
  <si>
    <t>Nisan</t>
  </si>
  <si>
    <t>Şubat</t>
  </si>
  <si>
    <t xml:space="preserve">Mart 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</si>
  <si>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</si>
  <si>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</si>
  <si>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</si>
  <si>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</si>
  <si>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</si>
  <si>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</si>
  <si>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</si>
  <si>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</si>
  <si>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</si>
  <si>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</si>
  <si>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</si>
  <si>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Zorluk Seviyesi:</t>
  </si>
  <si>
    <t xml:space="preserve">BÖLÜM 1 - XLOOKUP: Görev Bilgisi Sorgulama </t>
  </si>
  <si>
    <t>BÖLÜM 2 — SUMIFS: Kategori ve Aya Göre Toplam Süre (Saat)</t>
  </si>
  <si>
    <t xml:space="preserve">Nisan </t>
  </si>
  <si>
    <t>TOPLAM</t>
  </si>
  <si>
    <t>GENEL TOPLAM</t>
  </si>
  <si>
    <t>BÖLÜM 3 - COUNTIFS : Koşullu Görev Sayımı</t>
  </si>
  <si>
    <t>Analiz Sorusu</t>
  </si>
  <si>
    <t>Sonuç</t>
  </si>
  <si>
    <t>Frontend kategorisindeki toplam görev sayısı</t>
  </si>
  <si>
    <t>Tahmini süresi 15 saat ve üzerindeki görev sayısı</t>
  </si>
  <si>
    <t>Ocak ayında tamamlanan Backend görev sayısı</t>
  </si>
  <si>
    <t>BÖLÜM 4 - FILTER: Kategoriye Göre Dinamik Görev Listesi</t>
  </si>
  <si>
    <t>Filtre Kategorisi:</t>
  </si>
  <si>
    <t>Yüksek zorluktaki görevlerin sayısı</t>
  </si>
  <si>
    <t>Mart</t>
  </si>
  <si>
    <t>YAZILIM PROJESİ - YÖNETİCİ ÖZETİ</t>
  </si>
  <si>
    <t>Dönem : Ocak 2026 - Mayıs 2026</t>
  </si>
  <si>
    <t>GENEL METRİKLER</t>
  </si>
  <si>
    <t>Toplam Harcanan Bütçe (TL)</t>
  </si>
  <si>
    <t>Toplam Çalışılan Saat</t>
  </si>
  <si>
    <t>Ortalama Görev Maliyeti (TL)</t>
  </si>
  <si>
    <t>En Yüksek Maliyetli Tek Görev (TL)</t>
  </si>
  <si>
    <t xml:space="preserve">KATEGORİ BAZLI MALİYET ( Ocak 2026 - Mayıs 2026 ) </t>
  </si>
  <si>
    <t>Toplam Maliyet (TL)</t>
  </si>
  <si>
    <t>KRİTİK GÖREV UYARISI (Maliyet &gt; 2000 TL)</t>
  </si>
  <si>
    <t xml:space="preserve"> KRİTİK GÖREV UYARISI ( Süre&lt;17)</t>
  </si>
  <si>
    <t xml:space="preserve">Görev ID </t>
  </si>
  <si>
    <t>Column1</t>
  </si>
  <si>
    <t>Column2</t>
  </si>
  <si>
    <t>Column3</t>
  </si>
  <si>
    <t>Column4</t>
  </si>
  <si>
    <t>Column5</t>
  </si>
  <si>
    <t>Column6</t>
  </si>
  <si>
    <t>Max Hours</t>
  </si>
  <si>
    <t xml:space="preserve">Average Hours </t>
  </si>
  <si>
    <t>Total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</si>
</sst>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Bold"/>
      <charset val="162"/>
    </font>
    <font>
      <sz val="11"/>
      <color theme="1"/>
      <name val="Bold"/>
      <charset val="162"/>
    </font>
    <font>
      <sz val="11"/>
      <color theme="9" tint="-0.249977111117893"/>
      <name val="BoLD"/>
      <charset val="162"/>
    </font>
    <font>
      <sz val="11"/>
      <color theme="0" tint="-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4" fillId="4" borderId="1" xfId="0" applyFont="1" applyFill="1" applyBorder="1"/>
    <xf numFmtId="0" fontId="0" fillId="6" borderId="0" xfId="0" applyFill="1"/>
    <xf numFmtId="0" fontId="0" fillId="7" borderId="0" xfId="0" applyFill="1"/>
    <xf numFmtId="44" fontId="0" fillId="0" borderId="0" xfId="0" applyNumberFormat="1"/>
    <xf numFmtId="0" fontId="6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2" xfId="0" applyFont="1" applyFill="1" applyBorder="1"/>
    <xf numFmtId="0" fontId="0" fillId="0" borderId="2" xfId="0" applyBorder="1"/>
    <xf numFmtId="0" fontId="0" fillId="0" borderId="3" xfId="0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7" xfId="0" quotePrefix="1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5" xfId="0" applyBorder="1" applyAlignment="1">
      <alignment wrapText="1"/>
    </xf>
    <xf numFmtId="0" fontId="4" fillId="4" borderId="3" xfId="0" applyFont="1" applyFill="1" applyBorder="1"/>
    <xf numFmtId="0" fontId="3" fillId="2" borderId="6" xfId="0" applyFont="1" applyFill="1" applyBorder="1"/>
    <xf numFmtId="0" fontId="4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3" fillId="2" borderId="4" xfId="0" applyFont="1" applyFill="1" applyBorder="1"/>
    <xf numFmtId="0" fontId="3" fillId="2" borderId="5" xfId="0" applyFont="1" applyFill="1" applyBorder="1"/>
  </cellXfs>
  <cellStyles count="1">
    <cellStyle name="Normal" xfId="0" builtinId="0"/>
  </cellStyles>
  <dxfs count="4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ld"/>
        <charset val="162"/>
        <scheme val="none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ld"/>
        <charset val="162"/>
        <scheme val="none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ld"/>
        <charset val="162"/>
        <scheme val="none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GÖREV YÜZDELERİ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Analiz!$A$10:$A$13</c:f>
              <c:strCache>
                <c:ptCount val="4"/>
                <c:pt idx="0">
                  <c:v>Frontend</c:v>
                </c:pt>
                <c:pt idx="1">
                  <c:v>Backend</c:v>
                </c:pt>
                <c:pt idx="2">
                  <c:v>Veritabanı</c:v>
                </c:pt>
                <c:pt idx="3">
                  <c:v>Test</c:v>
                </c:pt>
              </c:strCache>
            </c:strRef>
          </c:cat>
          <c:val>
            <c:numRef>
              <c:f>Analiz!$G$10:$G$13</c:f>
              <c:numCache>
                <c:formatCode>General</c:formatCode>
                <c:ptCount val="4"/>
                <c:pt idx="0">
                  <c:v>6350</c:v>
                </c:pt>
                <c:pt idx="1">
                  <c:v>17200</c:v>
                </c:pt>
                <c:pt idx="2">
                  <c:v>2550</c:v>
                </c:pt>
                <c:pt idx="3">
                  <c:v>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9-4F29-B001-B9AF30895F0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AYLIK</a:t>
            </a:r>
            <a:r>
              <a:rPr lang="tr-TR" baseline="0"/>
              <a:t> İLERLEME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8.3233814523184596E-2"/>
          <c:y val="0.19949074074074077"/>
          <c:w val="0.87232174103237092"/>
          <c:h val="0.61498432487605714"/>
        </c:manualLayout>
      </c:layout>
      <c:lineChart>
        <c:grouping val="percentStacked"/>
        <c:varyColors val="0"/>
        <c:ser>
          <c:idx val="0"/>
          <c:order val="0"/>
          <c:tx>
            <c:strRef>
              <c:f>Analiz!$B$9</c:f>
              <c:strCache>
                <c:ptCount val="1"/>
                <c:pt idx="0">
                  <c:v>Ocak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Analiz!$B$13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F-4470-949A-5E226A874305}"/>
            </c:ext>
          </c:extLst>
        </c:ser>
        <c:ser>
          <c:idx val="1"/>
          <c:order val="1"/>
          <c:tx>
            <c:strRef>
              <c:f>Analiz!$C$9</c:f>
              <c:strCache>
                <c:ptCount val="1"/>
                <c:pt idx="0">
                  <c:v>Şubat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Analiz!$C$13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F-4470-949A-5E226A874305}"/>
            </c:ext>
          </c:extLst>
        </c:ser>
        <c:ser>
          <c:idx val="2"/>
          <c:order val="2"/>
          <c:tx>
            <c:strRef>
              <c:f>Analiz!$D$9</c:f>
              <c:strCache>
                <c:ptCount val="1"/>
                <c:pt idx="0">
                  <c:v>Mart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Analiz!$D$13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CF-4470-949A-5E226A874305}"/>
            </c:ext>
          </c:extLst>
        </c:ser>
        <c:ser>
          <c:idx val="3"/>
          <c:order val="3"/>
          <c:tx>
            <c:strRef>
              <c:f>Analiz!$E$9</c:f>
              <c:strCache>
                <c:ptCount val="1"/>
                <c:pt idx="0">
                  <c:v>Nisan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Analiz!$E$13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CF-4470-949A-5E226A874305}"/>
            </c:ext>
          </c:extLst>
        </c:ser>
        <c:ser>
          <c:idx val="4"/>
          <c:order val="4"/>
          <c:tx>
            <c:strRef>
              <c:f>Analiz!$F$9</c:f>
              <c:strCache>
                <c:ptCount val="1"/>
                <c:pt idx="0">
                  <c:v>Mayıs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Analiz!$F$13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CF-4470-949A-5E226A874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606624"/>
        <c:axId val="1372610944"/>
      </c:lineChart>
      <c:catAx>
        <c:axId val="1372606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2610944"/>
        <c:crosses val="autoZero"/>
        <c:auto val="1"/>
        <c:lblAlgn val="ctr"/>
        <c:lblOffset val="100"/>
        <c:noMultiLvlLbl val="0"/>
      </c:catAx>
      <c:valAx>
        <c:axId val="137261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260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SÜRE</a:t>
            </a:r>
            <a:r>
              <a:rPr lang="tr-TR" baseline="0"/>
              <a:t> ANALİZİ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Analiz!$I$17:$I$19</c:f>
              <c:strCache>
                <c:ptCount val="3"/>
                <c:pt idx="0">
                  <c:v>Max Hours</c:v>
                </c:pt>
                <c:pt idx="1">
                  <c:v>Average Hours </c:v>
                </c:pt>
                <c:pt idx="2">
                  <c:v>Total Projects</c:v>
                </c:pt>
              </c:strCache>
            </c:strRef>
          </c:cat>
          <c:val>
            <c:numRef>
              <c:f>Analiz!$J$17:$J$19</c:f>
              <c:numCache>
                <c:formatCode>General</c:formatCode>
                <c:ptCount val="3"/>
                <c:pt idx="0">
                  <c:v>17200</c:v>
                </c:pt>
                <c:pt idx="1">
                  <c:v>7712.5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F-4E22-98E3-8B3DA1B35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579264"/>
        <c:axId val="1372571104"/>
      </c:barChart>
      <c:catAx>
        <c:axId val="137257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2571104"/>
        <c:crosses val="autoZero"/>
        <c:auto val="1"/>
        <c:lblAlgn val="ctr"/>
        <c:lblOffset val="100"/>
        <c:noMultiLvlLbl val="0"/>
      </c:catAx>
      <c:valAx>
        <c:axId val="1372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25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PROJE BİLEŞENLERİ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'Yönetici Özeti'!$A$12:$A$15</c:f>
              <c:strCache>
                <c:ptCount val="4"/>
                <c:pt idx="0">
                  <c:v>Frontend</c:v>
                </c:pt>
                <c:pt idx="1">
                  <c:v>Backend</c:v>
                </c:pt>
                <c:pt idx="2">
                  <c:v>Veritabanı</c:v>
                </c:pt>
                <c:pt idx="3">
                  <c:v>Test</c:v>
                </c:pt>
              </c:strCache>
            </c:strRef>
          </c:cat>
          <c:val>
            <c:numRef>
              <c:f>'Yönetici Özeti'!$B$12:$B$15</c:f>
              <c:numCache>
                <c:formatCode>General</c:formatCode>
                <c:ptCount val="4"/>
                <c:pt idx="0">
                  <c:v>6350</c:v>
                </c:pt>
                <c:pt idx="1">
                  <c:v>17200</c:v>
                </c:pt>
                <c:pt idx="2">
                  <c:v>2550</c:v>
                </c:pt>
                <c:pt idx="3">
                  <c:v>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8-4B81-88DB-CD2E74F0BAA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KATEGORİ BAZLI MAALİYET</a:t>
            </a:r>
            <a:endParaRPr lang="en-US"/>
          </a:p>
        </c:rich>
      </c:tx>
      <c:layout>
        <c:manualLayout>
          <c:xMode val="edge"/>
          <c:yMode val="edge"/>
          <c:x val="0.1894026684164479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6088648293963254"/>
          <c:y val="0.16655110819480898"/>
          <c:w val="0.80300240594925631"/>
          <c:h val="0.6474150627004957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'Yönetici Özeti'!$A$5:$A$8</c:f>
              <c:strCache>
                <c:ptCount val="4"/>
                <c:pt idx="0">
                  <c:v>Toplam Harcanan Bütçe (TL)</c:v>
                </c:pt>
                <c:pt idx="1">
                  <c:v>Toplam Çalışılan Saat</c:v>
                </c:pt>
                <c:pt idx="2">
                  <c:v>Ortalama Görev Maliyeti (TL)</c:v>
                </c:pt>
                <c:pt idx="3">
                  <c:v>En Yüksek Maliyetli Tek Görev (TL)</c:v>
                </c:pt>
              </c:strCache>
            </c:strRef>
          </c:cat>
          <c:val>
            <c:numRef>
              <c:f>'Yönetici Özeti'!$B$5:$B$8</c:f>
              <c:numCache>
                <c:formatCode>General</c:formatCode>
                <c:ptCount val="4"/>
                <c:pt idx="0" formatCode="_(&quot;₺&quot;* #,##0.00_);_(&quot;₺&quot;* \(#,##0.00\);_(&quot;₺&quot;* &quot;-&quot;??_);_(@_)">
                  <c:v>31850</c:v>
                </c:pt>
                <c:pt idx="1">
                  <c:v>154</c:v>
                </c:pt>
                <c:pt idx="2" formatCode="_(&quot;₺&quot;* #,##0.00_);_(&quot;₺&quot;* \(#,##0.00\);_(&quot;₺&quot;* &quot;-&quot;??_);_(@_)">
                  <c:v>1225</c:v>
                </c:pt>
                <c:pt idx="3" formatCode="_(&quot;₺&quot;* #,##0.00_);_(&quot;₺&quot;* \(#,##0.00\);_(&quot;₺&quot;* &quot;-&quot;??_);_(@_)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9-41BC-82D7-6017EE28F1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72427440"/>
        <c:axId val="372424560"/>
      </c:barChart>
      <c:catAx>
        <c:axId val="37242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2424560"/>
        <c:crosses val="autoZero"/>
        <c:auto val="1"/>
        <c:lblAlgn val="ctr"/>
        <c:lblOffset val="100"/>
        <c:noMultiLvlLbl val="0"/>
      </c:catAx>
      <c:valAx>
        <c:axId val="3724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₺&quot;* #,##0.00_);_(&quot;₺&quot;* \(#,##0.00\);_(&quot;₺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7242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578306</xdr:colOff>
      <xdr:row>0</xdr:row>
      <xdr:rowOff>173015</xdr:rowOff>
    </xdr:from>
    <xdr:to>
      <xdr:col>15</xdr:col>
      <xdr:colOff>318448</xdr:colOff>
      <xdr:row>13</xdr:row>
      <xdr:rowOff>113730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9F9CE-6D2E-950B-C2A4-6FBBE916B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449480</xdr:colOff>
      <xdr:row>29</xdr:row>
      <xdr:rowOff>115178</xdr:rowOff>
    </xdr:from>
    <xdr:to>
      <xdr:col>15</xdr:col>
      <xdr:colOff>341194</xdr:colOff>
      <xdr:row>44</xdr:row>
      <xdr:rowOff>45493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D5D5F5-5DA0-EBC1-2660-1F49246AD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548068</xdr:colOff>
      <xdr:row>15</xdr:row>
      <xdr:rowOff>15030</xdr:rowOff>
    </xdr:from>
    <xdr:to>
      <xdr:col>15</xdr:col>
      <xdr:colOff>272956</xdr:colOff>
      <xdr:row>28</xdr:row>
      <xdr:rowOff>34119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578A52-FD04-945C-7FF1-3CD6799DB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128790</xdr:colOff>
      <xdr:row>9</xdr:row>
      <xdr:rowOff>173865</xdr:rowOff>
    </xdr:from>
    <xdr:to>
      <xdr:col>16</xdr:col>
      <xdr:colOff>418564</xdr:colOff>
      <xdr:row>24</xdr:row>
      <xdr:rowOff>180304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9B339-3812-B5AD-2227-0D8DE230A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10733</xdr:colOff>
      <xdr:row>26</xdr:row>
      <xdr:rowOff>12879</xdr:rowOff>
    </xdr:from>
    <xdr:to>
      <xdr:col>16</xdr:col>
      <xdr:colOff>300507</xdr:colOff>
      <xdr:row>41</xdr:row>
      <xdr:rowOff>19318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B5A85-B8DC-0C4E-0F5D-394443A5D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7AC9E-9BC4-4C53-998A-23DDDCB86F42}" name="GorevTablosu" displayName="GorevTablosu" ref="A1:F16" totalsRowShown="0">
  <autoFilter ref="A1:F16" xr:uid="{31B7AC9E-9BC4-4C53-998A-23DDDCB86F42}"/>
  <tableColumns count="6">
    <tableColumn id="1" xr3:uid="{CDADABB6-1AA9-4CC7-B006-EF0B9CA56B68}" name="Görev ID"/>
    <tableColumn id="2" xr3:uid="{6150A76B-A9B4-4CF9-A26E-DAF1D8024BBB}" name="Görev Adı"/>
    <tableColumn id="3" xr3:uid="{EEC7AC0E-B46E-4F34-A53F-09AB631A69CC}" name="Kategori"/>
    <tableColumn id="4" xr3:uid="{DB567CEB-05C9-496B-8F5B-A1A1B7C3E63B}" name="Tahmini Süre"/>
    <tableColumn id="5" xr3:uid="{4DF60B45-7B6B-49C5-81A6-1BD5E7746E08}" name="Zorluk Seviyesi" dataDxfId="39"/>
    <tableColumn id="6" xr3:uid="{2ABA2D17-20A6-429A-9B2D-3C3D630512CE}" name="Harcanan Bütçe (TL)" dataDxfId="3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4B230B-96FE-4379-9846-843410F83FE3}" name="ZamanTablosu" displayName="ZamanTablosu" ref="A1:G27" totalsRowShown="0">
  <autoFilter ref="A1:G27" xr:uid="{7C4B230B-96FE-4379-9846-843410F83FE3}"/>
  <tableColumns count="7">
    <tableColumn id="1" xr3:uid="{F2A6F445-2446-497A-8E01-544D2ADBED99}" name="Kayıt ID"/>
    <tableColumn id="2" xr3:uid="{9837FB20-FBED-44CF-8BF9-FF04FF79DC0D}" name="Tarih"/>
    <tableColumn id="3" xr3:uid="{9EA25E25-E355-43BA-B216-7B91EEF7D57E}" name="Görev ID"/>
    <tableColumn id="4" xr3:uid="{281F4CB8-F8C0-404E-A871-00E8964C29D8}" name="Çalışan Saat" dataDxfId="37"/>
    <tableColumn id="5" xr3:uid="{D1196379-3DC6-4C40-9185-952E6618C2F1}" name="Kategori" dataDxfId="36">
      <calculatedColumnFormula>+_xlfn.XLOOKUP(ZamanTablosu[[#This Row],[Görev ID]],GorevTablosu[Görev ID],GorevTablosu[Kategori])</calculatedColumnFormula>
    </tableColumn>
    <tableColumn id="6" xr3:uid="{8D29663E-0F48-4ADD-B23E-11D541C1C283}" name="Saatlik Ücret" dataDxfId="35"/>
    <tableColumn id="7" xr3:uid="{F29F671B-F023-47EB-B2F3-2BD1212B47F9}" name="Toplam Maliyet" dataDxfId="34">
      <calculatedColumnFormula>+VLOOKUP(ZamanTablosu[[#This Row],[Görev ID]],GorevTablosu[#All],6,0)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B0BEEE-F524-4470-A036-5D3A400B0583}" name="Table2" displayName="Table2" ref="A16:G21" totalsRowShown="0" headerRowDxfId="23" dataDxfId="24" headerRowBorderDxfId="32" tableBorderDxfId="33" totalsRowBorderDxfId="31">
  <autoFilter ref="A16:G21" xr:uid="{31B0BEEE-F524-4470-A036-5D3A400B0583}"/>
  <tableColumns count="7">
    <tableColumn id="1" xr3:uid="{34283EFF-6847-4B3C-8B1B-9B51F8564EB9}" name="BÖLÜM 3 - COUNTIFS : Koşullu Görev Sayımı" dataDxfId="30"/>
    <tableColumn id="2" xr3:uid="{1B0E2D43-DA15-4F16-8E6E-B233E50E7ED1}" name="Column1" dataDxfId="29"/>
    <tableColumn id="3" xr3:uid="{CE0CCBCD-5B2C-4A16-A216-E08E5E24B1BE}" name="Column2" dataDxfId="28"/>
    <tableColumn id="4" xr3:uid="{3F2C9B94-7BEE-46BD-8838-1C365CAAA1A0}" name="Column3" dataDxfId="27"/>
    <tableColumn id="5" xr3:uid="{DDA11E83-3C2D-4AA2-9318-4FFD346DCF57}" name="Column4" dataDxfId="26"/>
    <tableColumn id="6" xr3:uid="{730FE555-B3F9-455D-8DAF-075CAA23E661}" name="Column5" dataDxfId="25"/>
    <tableColumn id="7" xr3:uid="{D01DE33F-60CF-4ABE-82BB-D3A6B8C80743}" name="Column6" dataDxfId="22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7F31D8-820A-44C6-B36A-259AF6BC3B10}" name="Table4" displayName="Table4" ref="A8:G14" totalsRowShown="0" headerRowDxfId="11" headerRowBorderDxfId="20" tableBorderDxfId="21" totalsRowBorderDxfId="19">
  <autoFilter ref="A8:G14" xr:uid="{ED7F31D8-820A-44C6-B36A-259AF6BC3B10}"/>
  <tableColumns count="7">
    <tableColumn id="1" xr3:uid="{961BA250-272D-45DA-9BA6-FBACAF5E1205}" name="BÖLÜM 2 — SUMIFS: Kategori ve Aya Göre Toplam Süre (Saat)" dataDxfId="18"/>
    <tableColumn id="2" xr3:uid="{4E928103-6036-4C9E-B6F2-00A0289F2785}" name="Column1" dataDxfId="17"/>
    <tableColumn id="3" xr3:uid="{983414B9-7F4D-4764-989F-7440F7740A7B}" name="Column2" dataDxfId="16"/>
    <tableColumn id="4" xr3:uid="{D87B0AFF-AEF4-4362-9EA2-E3F4B0B96C89}" name="Column3" dataDxfId="15"/>
    <tableColumn id="5" xr3:uid="{E7AC84F7-5CE7-4529-858F-F14BAF188D39}" name="Column4" dataDxfId="14"/>
    <tableColumn id="6" xr3:uid="{3705BE93-C32D-463B-9A95-36FF8CD193F9}" name="Column5" dataDxfId="13"/>
    <tableColumn id="7" xr3:uid="{58601CE2-A5DC-49E9-BED7-7FD885D48613}" name="Column6" dataDxfId="1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3C1D79-08CC-403B-8F40-4271C1475F31}" name="Table5" displayName="Table5" ref="A1:G6" totalsRowShown="0" headerRowDxfId="3" headerRowBorderDxfId="9" tableBorderDxfId="10" totalsRowBorderDxfId="8">
  <autoFilter ref="A1:G6" xr:uid="{003C1D79-08CC-403B-8F40-4271C1475F31}"/>
  <tableColumns count="7">
    <tableColumn id="1" xr3:uid="{B4679A49-20C2-4356-9CF3-F8FE60BAC238}" name="BÖLÜM 1 - XLOOKUP: Görev Bilgisi Sorgulama " dataDxfId="7"/>
    <tableColumn id="2" xr3:uid="{A817AAFD-81BB-438B-BED7-EB964CFAFDF3}" name="Column1" dataDxfId="6"/>
    <tableColumn id="3" xr3:uid="{00FF8A18-E9B1-4D7A-A02B-64848E75A380}" name="Column2" dataDxfId="5"/>
    <tableColumn id="4" xr3:uid="{9BBAFA28-5DEB-4173-BB1D-1FB9015F3E14}" name="Column3" dataDxfId="4"/>
    <tableColumn id="5" xr3:uid="{FC255304-E35F-43F0-8C4F-0BD9E250EF97}" name="Column4" dataDxfId="2"/>
    <tableColumn id="6" xr3:uid="{C16BA29A-DECE-4011-963C-61AC1001E3EA}" name="Column5" dataDxfId="1"/>
    <tableColumn id="7" xr3:uid="{70B37FEF-059E-4575-8682-FFEE5BBCB977}" name="Column6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F11" sqref="F11"/>
    </sheetView>
  </sheetViews>
  <sheetFormatPr defaultRowHeight="14.4"/>
  <cols>
    <col min="1" max="1" width="13.109375" customWidth="1"/>
    <col min="2" max="2" width="31.109375" customWidth="1"/>
    <col min="3" max="3" width="15" customWidth="1"/>
    <col min="4" max="4" width="15.21875" customWidth="1"/>
    <col min="5" max="5" width="16.109375" customWidth="1"/>
    <col min="6" max="6" width="19.7773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</row>
    <row r="2" spans="1:6">
      <c r="A2" t="s">
        <v>10</v>
      </c>
      <c r="B2" t="s">
        <v>28</v>
      </c>
      <c r="C2" t="s">
        <v>5</v>
      </c>
      <c r="D2" s="1">
        <v>12</v>
      </c>
      <c r="E2" s="1" t="s">
        <v>25</v>
      </c>
      <c r="F2" s="1">
        <v>1200</v>
      </c>
    </row>
    <row r="3" spans="1:6">
      <c r="A3" t="s">
        <v>11</v>
      </c>
      <c r="B3" t="s">
        <v>29</v>
      </c>
      <c r="C3" t="s">
        <v>8</v>
      </c>
      <c r="D3" s="1">
        <v>8</v>
      </c>
      <c r="E3" s="1" t="s">
        <v>25</v>
      </c>
      <c r="F3" s="1">
        <v>850</v>
      </c>
    </row>
    <row r="4" spans="1:6">
      <c r="A4" t="s">
        <v>12</v>
      </c>
      <c r="B4" t="s">
        <v>30</v>
      </c>
      <c r="C4" t="s">
        <v>6</v>
      </c>
      <c r="D4" s="1">
        <v>5</v>
      </c>
      <c r="E4" s="1" t="s">
        <v>26</v>
      </c>
      <c r="F4" s="1">
        <v>400</v>
      </c>
    </row>
    <row r="5" spans="1:6">
      <c r="A5" t="s">
        <v>13</v>
      </c>
      <c r="B5" t="s">
        <v>31</v>
      </c>
      <c r="C5" t="s">
        <v>7</v>
      </c>
      <c r="D5" s="1">
        <v>20</v>
      </c>
      <c r="E5" s="1" t="s">
        <v>27</v>
      </c>
      <c r="F5" s="1">
        <v>2500</v>
      </c>
    </row>
    <row r="6" spans="1:6">
      <c r="A6" t="s">
        <v>14</v>
      </c>
      <c r="B6" t="s">
        <v>32</v>
      </c>
      <c r="C6" t="s">
        <v>6</v>
      </c>
      <c r="D6" s="1">
        <v>4</v>
      </c>
      <c r="E6" s="1" t="s">
        <v>26</v>
      </c>
      <c r="F6" s="1">
        <v>300</v>
      </c>
    </row>
    <row r="7" spans="1:6">
      <c r="A7" t="s">
        <v>15</v>
      </c>
      <c r="B7" t="s">
        <v>33</v>
      </c>
      <c r="C7" t="s">
        <v>7</v>
      </c>
      <c r="D7" s="1">
        <v>10</v>
      </c>
      <c r="E7" s="1" t="s">
        <v>25</v>
      </c>
      <c r="F7" s="1">
        <v>1000</v>
      </c>
    </row>
    <row r="8" spans="1:6">
      <c r="A8" t="s">
        <v>16</v>
      </c>
      <c r="B8" t="s">
        <v>34</v>
      </c>
      <c r="C8" t="s">
        <v>5</v>
      </c>
      <c r="D8" s="1">
        <v>15</v>
      </c>
      <c r="E8" s="1" t="s">
        <v>25</v>
      </c>
      <c r="F8" s="1">
        <v>1400</v>
      </c>
    </row>
    <row r="9" spans="1:6">
      <c r="A9" t="s">
        <v>17</v>
      </c>
      <c r="B9" t="s">
        <v>35</v>
      </c>
      <c r="C9" t="s">
        <v>9</v>
      </c>
      <c r="D9" s="1">
        <v>18</v>
      </c>
      <c r="E9" s="1" t="s">
        <v>27</v>
      </c>
      <c r="F9" s="1">
        <v>2000</v>
      </c>
    </row>
    <row r="10" spans="1:6">
      <c r="A10" t="s">
        <v>18</v>
      </c>
      <c r="B10" t="s">
        <v>36</v>
      </c>
      <c r="C10" t="s">
        <v>5</v>
      </c>
      <c r="D10" s="1">
        <v>7</v>
      </c>
      <c r="E10" s="1" t="s">
        <v>26</v>
      </c>
      <c r="F10" s="1">
        <v>650</v>
      </c>
    </row>
    <row r="11" spans="1:6">
      <c r="A11" t="s">
        <v>19</v>
      </c>
      <c r="B11" t="s">
        <v>37</v>
      </c>
      <c r="C11" t="s">
        <v>7</v>
      </c>
      <c r="D11" s="1">
        <v>14</v>
      </c>
      <c r="E11" s="1" t="s">
        <v>27</v>
      </c>
      <c r="F11" s="1">
        <v>1800</v>
      </c>
    </row>
    <row r="12" spans="1:6">
      <c r="A12" t="s">
        <v>20</v>
      </c>
      <c r="B12" t="s">
        <v>38</v>
      </c>
      <c r="C12" t="s">
        <v>9</v>
      </c>
      <c r="D12" s="1">
        <v>6</v>
      </c>
      <c r="E12" s="1" t="s">
        <v>25</v>
      </c>
      <c r="F12" s="1">
        <v>500</v>
      </c>
    </row>
    <row r="13" spans="1:6">
      <c r="A13" t="s">
        <v>21</v>
      </c>
      <c r="B13" t="s">
        <v>39</v>
      </c>
      <c r="C13" t="s">
        <v>7</v>
      </c>
      <c r="D13" s="1">
        <v>16</v>
      </c>
      <c r="E13" s="1" t="s">
        <v>27</v>
      </c>
      <c r="F13" s="1">
        <v>1900</v>
      </c>
    </row>
    <row r="14" spans="1:6">
      <c r="A14" t="s">
        <v>22</v>
      </c>
      <c r="B14" t="s">
        <v>40</v>
      </c>
      <c r="C14" t="s">
        <v>5</v>
      </c>
      <c r="D14" s="1">
        <v>4</v>
      </c>
      <c r="E14" s="1" t="s">
        <v>26</v>
      </c>
      <c r="F14" s="1">
        <v>350</v>
      </c>
    </row>
    <row r="15" spans="1:6">
      <c r="A15" t="s">
        <v>23</v>
      </c>
      <c r="B15" t="s">
        <v>41</v>
      </c>
      <c r="C15" t="s">
        <v>7</v>
      </c>
      <c r="D15" s="1">
        <v>22</v>
      </c>
      <c r="E15" s="1" t="s">
        <v>27</v>
      </c>
      <c r="F15" s="1">
        <v>2800</v>
      </c>
    </row>
    <row r="16" spans="1:6">
      <c r="A16" t="s">
        <v>24</v>
      </c>
      <c r="B16" t="s">
        <v>42</v>
      </c>
      <c r="C16" t="s">
        <v>9</v>
      </c>
      <c r="D16" s="1">
        <v>5</v>
      </c>
      <c r="E16" s="1" t="s">
        <v>26</v>
      </c>
      <c r="F16" s="1">
        <v>250</v>
      </c>
    </row>
    <row r="17" spans="5:5">
      <c r="E17" s="1"/>
    </row>
    <row r="18" spans="5:5">
      <c r="E18" s="1"/>
    </row>
    <row r="19" spans="5:5">
      <c r="E19" s="1"/>
    </row>
    <row r="20" spans="5:5">
      <c r="E20" s="1"/>
    </row>
  </sheetData>
  <phoneticPr fontId="1" type="noConversion"/>
  <dataValidations count="3">
    <dataValidation type="list" allowBlank="1" showInputMessage="1" showErrorMessage="1" sqref="C2:C16" xr:uid="{B0F180B2-E803-425A-AA40-8B7F2F36FBE2}">
      <formula1>"Frontend,Veritabanı,Tasarım,Backend,Test"</formula1>
    </dataValidation>
    <dataValidation type="whole" operator="greaterThan" allowBlank="1" showInputMessage="1" showErrorMessage="1" sqref="F2:F16 D2:D16" xr:uid="{275B5713-8B1C-4ACE-B30B-CAC5933B968E}">
      <formula1>0</formula1>
    </dataValidation>
    <dataValidation type="list" allowBlank="1" showInputMessage="1" showErrorMessage="1" sqref="E2:E16" xr:uid="{9B853430-83B0-42A2-BB3C-1499DBE6F14D}">
      <formula1>"Yüksek,Orta,Düşük"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9CF2-11FF-488A-9F5D-EA74380DC4ED}">
  <dimension ref="A1:G27"/>
  <sheetViews>
    <sheetView topLeftCell="G1" zoomScale="93" workbookViewId="0">
      <selection activeCell="G5" sqref="G5"/>
    </sheetView>
  </sheetViews>
  <sheetFormatPr defaultRowHeight="14.4"/>
  <cols>
    <col min="1" max="1" width="9.77734375" customWidth="1"/>
    <col min="2" max="2" width="10.5546875" customWidth="1"/>
    <col min="3" max="3" width="11.21875" customWidth="1"/>
    <col min="4" max="4" width="14.21875" customWidth="1"/>
    <col min="5" max="5" width="15.109375" customWidth="1"/>
    <col min="6" max="7" width="16.77734375" customWidth="1"/>
    <col min="10" max="10" width="14.109375" customWidth="1"/>
  </cols>
  <sheetData>
    <row r="1" spans="1:7">
      <c r="A1" t="s">
        <v>43</v>
      </c>
      <c r="B1" t="s">
        <v>44</v>
      </c>
      <c r="C1" t="s">
        <v>0</v>
      </c>
      <c r="D1" t="s">
        <v>48</v>
      </c>
      <c r="E1" t="s">
        <v>2</v>
      </c>
      <c r="F1" t="s">
        <v>49</v>
      </c>
      <c r="G1" t="s">
        <v>50</v>
      </c>
    </row>
    <row r="2" spans="1:7">
      <c r="A2" t="s">
        <v>46</v>
      </c>
      <c r="B2" s="2" t="s">
        <v>70</v>
      </c>
      <c r="C2" t="s">
        <v>10</v>
      </c>
      <c r="D2" s="1">
        <v>3</v>
      </c>
      <c r="E2" t="str">
        <f>+_xlfn.XLOOKUP(ZamanTablosu[[#This Row],[Görev ID]],GorevTablosu[Görev ID],GorevTablosu[Kategori])</f>
        <v>Frontend</v>
      </c>
      <c r="F2" s="1">
        <v>200</v>
      </c>
      <c r="G2">
        <f>+VLOOKUP(ZamanTablosu[[#This Row],[Görev ID]],GorevTablosu[#All],6,0)</f>
        <v>1200</v>
      </c>
    </row>
    <row r="3" spans="1:7">
      <c r="A3" t="s">
        <v>51</v>
      </c>
      <c r="B3" s="2" t="s">
        <v>72</v>
      </c>
      <c r="C3" t="s">
        <v>13</v>
      </c>
      <c r="D3" s="1">
        <v>5</v>
      </c>
      <c r="E3" t="str">
        <f>+_xlfn.XLOOKUP(ZamanTablosu[[#This Row],[Görev ID]],GorevTablosu[Görev ID],GorevTablosu[Kategori])</f>
        <v>Backend</v>
      </c>
      <c r="F3" s="1">
        <v>250</v>
      </c>
      <c r="G3">
        <f>+VLOOKUP(ZamanTablosu[[#This Row],[Görev ID]],GorevTablosu[#All],6,0)</f>
        <v>2500</v>
      </c>
    </row>
    <row r="4" spans="1:7">
      <c r="A4" t="s">
        <v>52</v>
      </c>
      <c r="B4" s="2" t="s">
        <v>73</v>
      </c>
      <c r="C4" t="s">
        <v>10</v>
      </c>
      <c r="D4" s="1">
        <v>2</v>
      </c>
      <c r="E4" t="str">
        <f>+_xlfn.XLOOKUP(ZamanTablosu[[#This Row],[Görev ID]],GorevTablosu[Görev ID],GorevTablosu[Kategori])</f>
        <v>Frontend</v>
      </c>
      <c r="F4" s="1">
        <v>200</v>
      </c>
      <c r="G4">
        <f>+VLOOKUP(ZamanTablosu[[#This Row],[Görev ID]],GorevTablosu[#All],6,0)</f>
        <v>1200</v>
      </c>
    </row>
    <row r="5" spans="1:7">
      <c r="A5" t="s">
        <v>53</v>
      </c>
      <c r="B5" s="2" t="s">
        <v>71</v>
      </c>
      <c r="C5" t="s">
        <v>11</v>
      </c>
      <c r="D5" s="1">
        <v>4</v>
      </c>
      <c r="E5" t="str">
        <f>+_xlfn.XLOOKUP(ZamanTablosu[[#This Row],[Görev ID]],GorevTablosu[Görev ID],GorevTablosu[Kategori])</f>
        <v>Veritabanı</v>
      </c>
      <c r="F5" s="1">
        <v>180</v>
      </c>
      <c r="G5">
        <f>+VLOOKUP(ZamanTablosu[[#This Row],[Görev ID]],GorevTablosu[#All],6,0)</f>
        <v>850</v>
      </c>
    </row>
    <row r="6" spans="1:7">
      <c r="A6" t="s">
        <v>54</v>
      </c>
      <c r="B6" s="2" t="s">
        <v>69</v>
      </c>
      <c r="C6" t="s">
        <v>17</v>
      </c>
      <c r="D6" s="1">
        <v>6</v>
      </c>
      <c r="E6" t="str">
        <f>+_xlfn.XLOOKUP(ZamanTablosu[[#This Row],[Görev ID]],GorevTablosu[Görev ID],GorevTablosu[Kategori])</f>
        <v>Test</v>
      </c>
      <c r="F6" s="1">
        <v>300</v>
      </c>
      <c r="G6">
        <f>+VLOOKUP(ZamanTablosu[[#This Row],[Görev ID]],GorevTablosu[#All],6,0)</f>
        <v>2000</v>
      </c>
    </row>
    <row r="7" spans="1:7">
      <c r="A7" t="s">
        <v>55</v>
      </c>
      <c r="B7" s="2" t="s">
        <v>71</v>
      </c>
      <c r="C7" t="s">
        <v>23</v>
      </c>
      <c r="D7" s="1">
        <v>8</v>
      </c>
      <c r="E7" t="str">
        <f>+_xlfn.XLOOKUP(ZamanTablosu[[#This Row],[Görev ID]],GorevTablosu[Görev ID],GorevTablosu[Kategori])</f>
        <v>Backend</v>
      </c>
      <c r="F7" s="1">
        <v>250</v>
      </c>
      <c r="G7">
        <f>+VLOOKUP(ZamanTablosu[[#This Row],[Görev ID]],GorevTablosu[#All],6,0)</f>
        <v>2800</v>
      </c>
    </row>
    <row r="8" spans="1:7">
      <c r="A8" t="s">
        <v>56</v>
      </c>
      <c r="B8" s="2" t="s">
        <v>69</v>
      </c>
      <c r="C8" t="s">
        <v>14</v>
      </c>
      <c r="D8" s="1">
        <v>2</v>
      </c>
      <c r="E8" t="str">
        <f>+_xlfn.XLOOKUP(ZamanTablosu[[#This Row],[Görev ID]],GorevTablosu[Görev ID],GorevTablosu[Kategori])</f>
        <v>Tasarım</v>
      </c>
      <c r="F8" s="1">
        <v>150</v>
      </c>
      <c r="G8">
        <f>+VLOOKUP(ZamanTablosu[[#This Row],[Görev ID]],GorevTablosu[#All],6,0)</f>
        <v>300</v>
      </c>
    </row>
    <row r="9" spans="1:7">
      <c r="A9" t="s">
        <v>57</v>
      </c>
      <c r="B9" s="2" t="s">
        <v>71</v>
      </c>
      <c r="C9" t="s">
        <v>10</v>
      </c>
      <c r="D9" s="1">
        <v>4</v>
      </c>
      <c r="E9" t="str">
        <f>+_xlfn.XLOOKUP(ZamanTablosu[[#This Row],[Görev ID]],GorevTablosu[Görev ID],GorevTablosu[Kategori])</f>
        <v>Frontend</v>
      </c>
      <c r="F9" s="1">
        <v>200</v>
      </c>
      <c r="G9">
        <f>+VLOOKUP(ZamanTablosu[[#This Row],[Görev ID]],GorevTablosu[#All],6,0)</f>
        <v>1200</v>
      </c>
    </row>
    <row r="10" spans="1:7">
      <c r="A10" t="s">
        <v>58</v>
      </c>
      <c r="B10" s="2" t="s">
        <v>70</v>
      </c>
      <c r="C10" t="s">
        <v>21</v>
      </c>
      <c r="D10" s="1">
        <v>5</v>
      </c>
      <c r="E10" t="str">
        <f>+_xlfn.XLOOKUP(ZamanTablosu[[#This Row],[Görev ID]],GorevTablosu[Görev ID],GorevTablosu[Kategori])</f>
        <v>Backend</v>
      </c>
      <c r="F10" s="1">
        <v>250</v>
      </c>
      <c r="G10">
        <f>+VLOOKUP(ZamanTablosu[[#This Row],[Görev ID]],GorevTablosu[#All],6,0)</f>
        <v>1900</v>
      </c>
    </row>
    <row r="11" spans="1:7">
      <c r="A11" t="s">
        <v>59</v>
      </c>
      <c r="B11" s="2" t="s">
        <v>71</v>
      </c>
      <c r="C11" t="s">
        <v>12</v>
      </c>
      <c r="D11" s="1">
        <v>3</v>
      </c>
      <c r="E11" t="str">
        <f>+_xlfn.XLOOKUP(ZamanTablosu[[#This Row],[Görev ID]],GorevTablosu[Görev ID],GorevTablosu[Kategori])</f>
        <v>Tasarım</v>
      </c>
      <c r="F11" s="1">
        <v>150</v>
      </c>
      <c r="G11">
        <f>+VLOOKUP(ZamanTablosu[[#This Row],[Görev ID]],GorevTablosu[#All],6,0)</f>
        <v>400</v>
      </c>
    </row>
    <row r="12" spans="1:7">
      <c r="A12" t="s">
        <v>60</v>
      </c>
      <c r="B12" s="2" t="s">
        <v>69</v>
      </c>
      <c r="C12" t="s">
        <v>19</v>
      </c>
      <c r="D12" s="1">
        <v>4</v>
      </c>
      <c r="E12" t="str">
        <f>+_xlfn.XLOOKUP(ZamanTablosu[[#This Row],[Görev ID]],GorevTablosu[Görev ID],GorevTablosu[Kategori])</f>
        <v>Backend</v>
      </c>
      <c r="F12" s="1">
        <v>250</v>
      </c>
      <c r="G12">
        <f>+VLOOKUP(ZamanTablosu[[#This Row],[Görev ID]],GorevTablosu[#All],6,0)</f>
        <v>1800</v>
      </c>
    </row>
    <row r="13" spans="1:7">
      <c r="A13" t="s">
        <v>61</v>
      </c>
      <c r="B13" s="2" t="s">
        <v>73</v>
      </c>
      <c r="C13" t="s">
        <v>16</v>
      </c>
      <c r="D13" s="1">
        <v>6</v>
      </c>
      <c r="E13" t="str">
        <f>+_xlfn.XLOOKUP(ZamanTablosu[[#This Row],[Görev ID]],GorevTablosu[Görev ID],GorevTablosu[Kategori])</f>
        <v>Frontend</v>
      </c>
      <c r="F13" s="1">
        <v>200</v>
      </c>
      <c r="G13">
        <f>+VLOOKUP(ZamanTablosu[[#This Row],[Görev ID]],GorevTablosu[#All],6,0)</f>
        <v>1400</v>
      </c>
    </row>
    <row r="14" spans="1:7">
      <c r="A14" t="s">
        <v>62</v>
      </c>
      <c r="B14" s="2" t="s">
        <v>73</v>
      </c>
      <c r="C14" t="s">
        <v>18</v>
      </c>
      <c r="D14" s="1">
        <v>3</v>
      </c>
      <c r="E14" t="str">
        <f>+_xlfn.XLOOKUP(ZamanTablosu[[#This Row],[Görev ID]],GorevTablosu[Görev ID],GorevTablosu[Kategori])</f>
        <v>Frontend</v>
      </c>
      <c r="F14" s="1">
        <v>150</v>
      </c>
      <c r="G14">
        <f>+VLOOKUP(ZamanTablosu[[#This Row],[Görev ID]],GorevTablosu[#All],6,0)</f>
        <v>650</v>
      </c>
    </row>
    <row r="15" spans="1:7">
      <c r="A15" t="s">
        <v>63</v>
      </c>
      <c r="B15" s="2" t="s">
        <v>70</v>
      </c>
      <c r="C15" t="s">
        <v>13</v>
      </c>
      <c r="D15" s="1">
        <v>5</v>
      </c>
      <c r="E15" t="str">
        <f>+_xlfn.XLOOKUP(ZamanTablosu[[#This Row],[Görev ID]],GorevTablosu[Görev ID],GorevTablosu[Kategori])</f>
        <v>Backend</v>
      </c>
      <c r="F15" s="1">
        <v>250</v>
      </c>
      <c r="G15">
        <f>+VLOOKUP(ZamanTablosu[[#This Row],[Görev ID]],GorevTablosu[#All],6,0)</f>
        <v>2500</v>
      </c>
    </row>
    <row r="16" spans="1:7">
      <c r="A16" t="s">
        <v>64</v>
      </c>
      <c r="B16" s="2" t="s">
        <v>71</v>
      </c>
      <c r="C16" t="s">
        <v>15</v>
      </c>
      <c r="D16" s="1">
        <v>4</v>
      </c>
      <c r="E16" t="str">
        <f>+_xlfn.XLOOKUP(ZamanTablosu[[#This Row],[Görev ID]],GorevTablosu[Görev ID],GorevTablosu[Kategori])</f>
        <v>Backend</v>
      </c>
      <c r="F16" s="1">
        <v>200</v>
      </c>
      <c r="G16">
        <f>+VLOOKUP(ZamanTablosu[[#This Row],[Görev ID]],GorevTablosu[#All],6,0)</f>
        <v>1000</v>
      </c>
    </row>
    <row r="17" spans="1:7">
      <c r="A17" t="s">
        <v>74</v>
      </c>
      <c r="B17" t="s">
        <v>70</v>
      </c>
      <c r="C17" t="s">
        <v>14</v>
      </c>
      <c r="D17" s="1">
        <v>5</v>
      </c>
      <c r="E17" t="str">
        <f>+_xlfn.XLOOKUP(ZamanTablosu[[#This Row],[Görev ID]],GorevTablosu[Görev ID],GorevTablosu[Kategori])</f>
        <v>Tasarım</v>
      </c>
      <c r="F17" s="1">
        <v>120</v>
      </c>
      <c r="G17">
        <f>+VLOOKUP(ZamanTablosu[[#This Row],[Görev ID]],GorevTablosu[#All],6,0)</f>
        <v>300</v>
      </c>
    </row>
    <row r="18" spans="1:7">
      <c r="A18" t="s">
        <v>75</v>
      </c>
      <c r="B18" t="s">
        <v>73</v>
      </c>
      <c r="C18" t="s">
        <v>21</v>
      </c>
      <c r="D18" s="1">
        <v>12</v>
      </c>
      <c r="E18" t="str">
        <f>+_xlfn.XLOOKUP(ZamanTablosu[[#This Row],[Görev ID]],GorevTablosu[Görev ID],GorevTablosu[Kategori])</f>
        <v>Backend</v>
      </c>
      <c r="F18" s="1">
        <v>150</v>
      </c>
      <c r="G18">
        <f>+VLOOKUP(ZamanTablosu[[#This Row],[Görev ID]],GorevTablosu[#All],6,0)</f>
        <v>1900</v>
      </c>
    </row>
    <row r="19" spans="1:7">
      <c r="A19" t="s">
        <v>76</v>
      </c>
      <c r="B19" t="s">
        <v>71</v>
      </c>
      <c r="C19" t="s">
        <v>24</v>
      </c>
      <c r="D19" s="1">
        <v>5</v>
      </c>
      <c r="E19" t="str">
        <f>+_xlfn.XLOOKUP(ZamanTablosu[[#This Row],[Görev ID]],GorevTablosu[Görev ID],GorevTablosu[Kategori])</f>
        <v>Test</v>
      </c>
      <c r="F19" s="1">
        <v>160</v>
      </c>
      <c r="G19">
        <f>+VLOOKUP(ZamanTablosu[[#This Row],[Görev ID]],GorevTablosu[#All],6,0)</f>
        <v>250</v>
      </c>
    </row>
    <row r="20" spans="1:7">
      <c r="A20" t="s">
        <v>77</v>
      </c>
      <c r="B20" t="s">
        <v>69</v>
      </c>
      <c r="C20" t="s">
        <v>22</v>
      </c>
      <c r="D20" s="1">
        <v>3</v>
      </c>
      <c r="E20" t="str">
        <f>+_xlfn.XLOOKUP(ZamanTablosu[[#This Row],[Görev ID]],GorevTablosu[Görev ID],GorevTablosu[Kategori])</f>
        <v>Frontend</v>
      </c>
      <c r="F20" s="1">
        <v>200</v>
      </c>
      <c r="G20">
        <f>+VLOOKUP(ZamanTablosu[[#This Row],[Görev ID]],GorevTablosu[#All],6,0)</f>
        <v>350</v>
      </c>
    </row>
    <row r="21" spans="1:7">
      <c r="A21" t="s">
        <v>78</v>
      </c>
      <c r="B21" t="s">
        <v>70</v>
      </c>
      <c r="C21" t="s">
        <v>11</v>
      </c>
      <c r="D21" s="1">
        <v>8</v>
      </c>
      <c r="E21" t="str">
        <f>+_xlfn.XLOOKUP(ZamanTablosu[[#This Row],[Görev ID]],GorevTablosu[Görev ID],GorevTablosu[Kategori])</f>
        <v>Veritabanı</v>
      </c>
      <c r="F21" s="1">
        <v>250</v>
      </c>
      <c r="G21">
        <f>+VLOOKUP(ZamanTablosu[[#This Row],[Görev ID]],GorevTablosu[#All],6,0)</f>
        <v>850</v>
      </c>
    </row>
    <row r="22" spans="1:7">
      <c r="A22" t="s">
        <v>79</v>
      </c>
      <c r="B22" t="s">
        <v>71</v>
      </c>
      <c r="C22" t="s">
        <v>15</v>
      </c>
      <c r="D22" s="1">
        <v>7</v>
      </c>
      <c r="E22" t="str">
        <f>+_xlfn.XLOOKUP(ZamanTablosu[[#This Row],[Görev ID]],GorevTablosu[Görev ID],GorevTablosu[Kategori])</f>
        <v>Backend</v>
      </c>
      <c r="F22" s="1">
        <v>390</v>
      </c>
      <c r="G22">
        <f>+VLOOKUP(ZamanTablosu[[#This Row],[Görev ID]],GorevTablosu[#All],6,0)</f>
        <v>1000</v>
      </c>
    </row>
    <row r="23" spans="1:7">
      <c r="A23" t="s">
        <v>80</v>
      </c>
      <c r="B23" t="s">
        <v>72</v>
      </c>
      <c r="C23" t="s">
        <v>11</v>
      </c>
      <c r="D23" s="1">
        <v>16</v>
      </c>
      <c r="E23" t="str">
        <f>+_xlfn.XLOOKUP(ZamanTablosu[[#This Row],[Görev ID]],GorevTablosu[Görev ID],GorevTablosu[Kategori])</f>
        <v>Veritabanı</v>
      </c>
      <c r="F23" s="1">
        <v>300</v>
      </c>
      <c r="G23">
        <f>+VLOOKUP(ZamanTablosu[[#This Row],[Görev ID]],GorevTablosu[#All],6,0)</f>
        <v>850</v>
      </c>
    </row>
    <row r="24" spans="1:7">
      <c r="A24" t="s">
        <v>81</v>
      </c>
      <c r="B24" t="s">
        <v>71</v>
      </c>
      <c r="C24" t="s">
        <v>19</v>
      </c>
      <c r="D24" s="1">
        <v>20</v>
      </c>
      <c r="E24" t="str">
        <f>+_xlfn.XLOOKUP(ZamanTablosu[[#This Row],[Görev ID]],GorevTablosu[Görev ID],GorevTablosu[Kategori])</f>
        <v>Backend</v>
      </c>
      <c r="F24" s="1">
        <v>150</v>
      </c>
      <c r="G24">
        <f>+VLOOKUP(ZamanTablosu[[#This Row],[Görev ID]],GorevTablosu[#All],6,0)</f>
        <v>1800</v>
      </c>
    </row>
    <row r="25" spans="1:7">
      <c r="A25" t="s">
        <v>82</v>
      </c>
      <c r="B25" t="s">
        <v>73</v>
      </c>
      <c r="C25" t="s">
        <v>20</v>
      </c>
      <c r="D25" s="1">
        <v>3</v>
      </c>
      <c r="E25" t="str">
        <f>+_xlfn.XLOOKUP(ZamanTablosu[[#This Row],[Görev ID]],GorevTablosu[Görev ID],GorevTablosu[Kategori])</f>
        <v>Test</v>
      </c>
      <c r="F25" s="1">
        <v>140</v>
      </c>
      <c r="G25">
        <f>+VLOOKUP(ZamanTablosu[[#This Row],[Görev ID]],GorevTablosu[#All],6,0)</f>
        <v>500</v>
      </c>
    </row>
    <row r="26" spans="1:7">
      <c r="A26" t="s">
        <v>83</v>
      </c>
      <c r="B26" t="s">
        <v>69</v>
      </c>
      <c r="C26" t="s">
        <v>22</v>
      </c>
      <c r="D26" s="1">
        <v>6</v>
      </c>
      <c r="E26" t="str">
        <f>+_xlfn.XLOOKUP(ZamanTablosu[[#This Row],[Görev ID]],GorevTablosu[Görev ID],GorevTablosu[Kategori])</f>
        <v>Frontend</v>
      </c>
      <c r="F26" s="1">
        <v>150</v>
      </c>
      <c r="G26">
        <f>+VLOOKUP(ZamanTablosu[[#This Row],[Görev ID]],GorevTablosu[#All],6,0)</f>
        <v>350</v>
      </c>
    </row>
    <row r="27" spans="1:7">
      <c r="A27" t="s">
        <v>84</v>
      </c>
      <c r="B27" t="s">
        <v>70</v>
      </c>
      <c r="C27" t="s">
        <v>17</v>
      </c>
      <c r="D27" s="1">
        <v>5</v>
      </c>
      <c r="E27" t="str">
        <f>+_xlfn.XLOOKUP(ZamanTablosu[[#This Row],[Görev ID]],GorevTablosu[Görev ID],GorevTablosu[Kategori])</f>
        <v>Test</v>
      </c>
      <c r="F27" s="1">
        <v>200</v>
      </c>
      <c r="G27">
        <f>+VLOOKUP(ZamanTablosu[[#This Row],[Görev ID]],GorevTablosu[#All],6,0)</f>
        <v>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D5F0-A997-4678-94AA-B46F89FCB92A}">
  <dimension ref="A1:J32"/>
  <sheetViews>
    <sheetView topLeftCell="D1" zoomScale="67" workbookViewId="0">
      <selection activeCell="V36" sqref="V36"/>
    </sheetView>
  </sheetViews>
  <sheetFormatPr defaultRowHeight="14.4"/>
  <cols>
    <col min="1" max="1" width="71.33203125" customWidth="1"/>
    <col min="2" max="2" width="24.88671875" customWidth="1"/>
    <col min="3" max="3" width="19.21875" customWidth="1"/>
    <col min="4" max="4" width="11.88671875" customWidth="1"/>
    <col min="5" max="5" width="14.21875" customWidth="1"/>
    <col min="6" max="6" width="11.88671875" customWidth="1"/>
    <col min="7" max="7" width="16.77734375" customWidth="1"/>
  </cols>
  <sheetData>
    <row r="1" spans="1:7">
      <c r="A1" s="32" t="s">
        <v>86</v>
      </c>
      <c r="B1" s="33" t="s">
        <v>113</v>
      </c>
      <c r="C1" s="33" t="s">
        <v>114</v>
      </c>
      <c r="D1" s="28" t="s">
        <v>115</v>
      </c>
      <c r="E1" s="33" t="s">
        <v>116</v>
      </c>
      <c r="F1" s="33" t="s">
        <v>117</v>
      </c>
      <c r="G1" s="33" t="s">
        <v>118</v>
      </c>
    </row>
    <row r="2" spans="1:7">
      <c r="A2" s="16" t="s">
        <v>65</v>
      </c>
      <c r="B2" s="4" t="s">
        <v>13</v>
      </c>
      <c r="C2" s="4" t="s">
        <v>16</v>
      </c>
      <c r="D2" s="17"/>
      <c r="E2" s="4"/>
      <c r="F2" s="4"/>
      <c r="G2" s="4"/>
    </row>
    <row r="3" spans="1:7">
      <c r="A3" s="16" t="s">
        <v>68</v>
      </c>
      <c r="B3" s="4" t="str">
        <f>+_xlfn.XLOOKUP(B2,GorevTablosu[Görev ID],GorevTablosu[Görev Adı]," İF NOT FOUND")</f>
        <v>API Entegrasyonu(Ödeme)</v>
      </c>
      <c r="C3" s="4" t="str">
        <f>+_xlfn.XLOOKUP(C2,GorevTablosu[Görev ID],GorevTablosu[Görev Adı]," İF NOT FOUND")</f>
        <v xml:space="preserve">Kullanıcı Profil Sayfası </v>
      </c>
      <c r="D3" s="17"/>
      <c r="E3" s="4"/>
      <c r="F3" s="4"/>
      <c r="G3" s="4"/>
    </row>
    <row r="4" spans="1:7">
      <c r="A4" s="16" t="s">
        <v>67</v>
      </c>
      <c r="B4" s="4" t="str">
        <f>+_xlfn.XLOOKUP(B2,GorevTablosu[Görev ID],GorevTablosu[Kategori])</f>
        <v>Backend</v>
      </c>
      <c r="C4" s="4" t="str">
        <f>+_xlfn.XLOOKUP(C2,GorevTablosu[Görev ID],GorevTablosu[Kategori])</f>
        <v>Frontend</v>
      </c>
      <c r="D4" s="17"/>
      <c r="E4" s="4"/>
      <c r="F4" s="4"/>
      <c r="G4" s="4"/>
    </row>
    <row r="5" spans="1:7">
      <c r="A5" s="16" t="s">
        <v>66</v>
      </c>
      <c r="B5" s="4">
        <f>+_xlfn.XLOOKUP(B2,GorevTablosu[Görev ID],GorevTablosu[Tahmini Süre])</f>
        <v>20</v>
      </c>
      <c r="C5" s="4">
        <f>+_xlfn.XLOOKUP(C2,GorevTablosu[Görev ID],GorevTablosu[Tahmini Süre])</f>
        <v>15</v>
      </c>
      <c r="D5" s="17"/>
      <c r="E5" s="4"/>
      <c r="F5" s="4"/>
      <c r="G5" s="4"/>
    </row>
    <row r="6" spans="1:7">
      <c r="A6" s="25" t="s">
        <v>85</v>
      </c>
      <c r="B6" s="23" t="str">
        <f>+_xlfn.XLOOKUP(B2,GorevTablosu[Görev ID],GorevTablosu[Zorluk Seviyesi])</f>
        <v>Yüksek</v>
      </c>
      <c r="C6" s="23" t="str">
        <f>+_xlfn.XLOOKUP(C2,GorevTablosu[Görev ID],GorevTablosu[Zorluk Seviyesi])</f>
        <v xml:space="preserve">Orta </v>
      </c>
      <c r="D6" s="2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18" t="s">
        <v>87</v>
      </c>
      <c r="B8" s="19" t="s">
        <v>113</v>
      </c>
      <c r="C8" s="19" t="s">
        <v>114</v>
      </c>
      <c r="D8" s="19" t="s">
        <v>115</v>
      </c>
      <c r="E8" s="19" t="s">
        <v>116</v>
      </c>
      <c r="F8" s="19" t="s">
        <v>117</v>
      </c>
      <c r="G8" s="28" t="s">
        <v>118</v>
      </c>
    </row>
    <row r="9" spans="1:7">
      <c r="A9" s="15" t="s">
        <v>2</v>
      </c>
      <c r="B9" s="6" t="s">
        <v>70</v>
      </c>
      <c r="C9" s="6" t="s">
        <v>72</v>
      </c>
      <c r="D9" s="6" t="s">
        <v>100</v>
      </c>
      <c r="E9" s="6" t="s">
        <v>88</v>
      </c>
      <c r="F9" s="6" t="s">
        <v>69</v>
      </c>
      <c r="G9" s="27" t="s">
        <v>89</v>
      </c>
    </row>
    <row r="10" spans="1:7">
      <c r="A10" s="16" t="s">
        <v>5</v>
      </c>
      <c r="B10" s="4">
        <f>+SUMIFS(ZamanTablosu[Toplam Maliyet],ZamanTablosu[Kategori],A10,ZamanTablosu[Tarih],"Ocak")</f>
        <v>1200</v>
      </c>
      <c r="C10" s="4">
        <f>+SUMIFS(ZamanTablosu[Toplam Maliyet],ZamanTablosu[Kategori],A10,ZamanTablosu[Tarih],"Şubat")</f>
        <v>0</v>
      </c>
      <c r="D10" s="4">
        <f>+SUMIFS(ZamanTablosu[Toplam Maliyet],ZamanTablosu[Kategori],A10,ZamanTablosu[Tarih],"Mart ")</f>
        <v>3250</v>
      </c>
      <c r="E10" s="4">
        <f>+SUMIFS(ZamanTablosu[Toplam Maliyet],ZamanTablosu[Kategori],A10,ZamanTablosu[Tarih],"Nisan")</f>
        <v>1200</v>
      </c>
      <c r="F10" s="4">
        <f>+SUMIFS(ZamanTablosu[Toplam Maliyet],ZamanTablosu[Kategori],A10,ZamanTablosu[Tarih],"Mayıs")</f>
        <v>700</v>
      </c>
      <c r="G10" s="17">
        <f>+SUM(B10:F10)</f>
        <v>6350</v>
      </c>
    </row>
    <row r="11" spans="1:7">
      <c r="A11" s="16" t="s">
        <v>7</v>
      </c>
      <c r="B11" s="4">
        <f>+SUMIFS(ZamanTablosu[Toplam Maliyet],ZamanTablosu[Kategori],A11,ZamanTablosu[Tarih],"Ocak")</f>
        <v>4400</v>
      </c>
      <c r="C11" s="4">
        <f>+SUMIFS(ZamanTablosu[Toplam Maliyet],ZamanTablosu[Kategori],A11,ZamanTablosu[Tarih],"Şubat")</f>
        <v>2500</v>
      </c>
      <c r="D11" s="4">
        <f>+SUMIFS(ZamanTablosu[Toplam Maliyet],ZamanTablosu[Kategori],A11,ZamanTablosu[Tarih],"Mart ")</f>
        <v>1900</v>
      </c>
      <c r="E11" s="4">
        <f>+SUMIFS(ZamanTablosu[Toplam Maliyet],ZamanTablosu[Kategori],A11,ZamanTablosu[Tarih],"Nisan")</f>
        <v>6600</v>
      </c>
      <c r="F11" s="4">
        <f>+SUMIFS(ZamanTablosu[Toplam Maliyet],ZamanTablosu[Kategori],A11,ZamanTablosu[Tarih],"Mayıs")</f>
        <v>1800</v>
      </c>
      <c r="G11" s="17">
        <f t="shared" ref="G11:G13" si="0">+SUM(B11:F11)</f>
        <v>17200</v>
      </c>
    </row>
    <row r="12" spans="1:7">
      <c r="A12" s="16" t="s">
        <v>8</v>
      </c>
      <c r="B12" s="4">
        <f>+SUMIFS(ZamanTablosu[Toplam Maliyet],ZamanTablosu[Kategori],A12,ZamanTablosu[Tarih],"Ocak")</f>
        <v>850</v>
      </c>
      <c r="C12" s="4">
        <f>+SUMIFS(ZamanTablosu[Toplam Maliyet],ZamanTablosu[Kategori],A12,ZamanTablosu[Tarih],"Şubat")</f>
        <v>850</v>
      </c>
      <c r="D12" s="4">
        <f>+SUMIFS(ZamanTablosu[Toplam Maliyet],ZamanTablosu[Kategori],A12,ZamanTablosu[Tarih],"Mart ")</f>
        <v>0</v>
      </c>
      <c r="E12" s="4">
        <f>+SUMIFS(ZamanTablosu[Toplam Maliyet],ZamanTablosu[Kategori],A12,ZamanTablosu[Tarih],"Nisan")</f>
        <v>850</v>
      </c>
      <c r="F12" s="4">
        <f>+SUMIFS(ZamanTablosu[Toplam Maliyet],ZamanTablosu[Kategori],A12,ZamanTablosu[Tarih],"Mayıs")</f>
        <v>0</v>
      </c>
      <c r="G12" s="17">
        <f t="shared" si="0"/>
        <v>2550</v>
      </c>
    </row>
    <row r="13" spans="1:7">
      <c r="A13" s="16" t="s">
        <v>9</v>
      </c>
      <c r="B13" s="4">
        <f>+SUMIFS(ZamanTablosu[Toplam Maliyet],ZamanTablosu[Kategori],A13,ZamanTablosu[Tarih],"Ocak")</f>
        <v>2000</v>
      </c>
      <c r="C13" s="4">
        <f>+SUMIFS(ZamanTablosu[Toplam Maliyet],ZamanTablosu[Kategori],A13,ZamanTablosu[Tarih],"Şubat")</f>
        <v>0</v>
      </c>
      <c r="D13" s="4">
        <f>+SUMIFS(ZamanTablosu[Toplam Maliyet],ZamanTablosu[Kategori],A13,ZamanTablosu[Tarih],"Mart ")</f>
        <v>500</v>
      </c>
      <c r="E13" s="4">
        <f>+SUMIFS(ZamanTablosu[Toplam Maliyet],ZamanTablosu[Kategori],A13,ZamanTablosu[Tarih],"Nisan")</f>
        <v>250</v>
      </c>
      <c r="F13" s="4">
        <f>+SUMIFS(ZamanTablosu[Toplam Maliyet],ZamanTablosu[Kategori],A13,ZamanTablosu[Tarih],"Mayıs")</f>
        <v>2000</v>
      </c>
      <c r="G13" s="17">
        <f t="shared" si="0"/>
        <v>4750</v>
      </c>
    </row>
    <row r="14" spans="1:7">
      <c r="A14" s="29" t="s">
        <v>90</v>
      </c>
      <c r="B14" s="30">
        <f t="shared" ref="B14:G14" si="1">+SUM(B10:B13)</f>
        <v>8450</v>
      </c>
      <c r="C14" s="30">
        <f t="shared" si="1"/>
        <v>3350</v>
      </c>
      <c r="D14" s="30">
        <f t="shared" si="1"/>
        <v>5650</v>
      </c>
      <c r="E14" s="30">
        <f t="shared" si="1"/>
        <v>8900</v>
      </c>
      <c r="F14" s="30">
        <f t="shared" si="1"/>
        <v>4500</v>
      </c>
      <c r="G14" s="31">
        <f t="shared" si="1"/>
        <v>30850</v>
      </c>
    </row>
    <row r="15" spans="1:7">
      <c r="A15" s="4"/>
      <c r="B15" s="4"/>
      <c r="C15" s="4"/>
      <c r="D15" s="4"/>
      <c r="E15" s="4"/>
      <c r="F15" s="4"/>
      <c r="G15" s="4"/>
    </row>
    <row r="16" spans="1:7">
      <c r="A16" s="18" t="s">
        <v>91</v>
      </c>
      <c r="B16" s="19" t="s">
        <v>113</v>
      </c>
      <c r="C16" s="19" t="s">
        <v>114</v>
      </c>
      <c r="D16" s="19" t="s">
        <v>115</v>
      </c>
      <c r="E16" s="19" t="s">
        <v>116</v>
      </c>
      <c r="F16" s="20" t="s">
        <v>117</v>
      </c>
      <c r="G16" s="19" t="s">
        <v>118</v>
      </c>
    </row>
    <row r="17" spans="1:10">
      <c r="A17" s="15" t="s">
        <v>92</v>
      </c>
      <c r="B17" s="6" t="s">
        <v>93</v>
      </c>
      <c r="C17" s="4"/>
      <c r="D17" s="4"/>
      <c r="E17" s="4"/>
      <c r="F17" s="17"/>
      <c r="G17" s="26"/>
      <c r="I17" t="s">
        <v>119</v>
      </c>
      <c r="J17">
        <f>MAX(G10:G13)</f>
        <v>17200</v>
      </c>
    </row>
    <row r="18" spans="1:10">
      <c r="A18" s="16" t="s">
        <v>94</v>
      </c>
      <c r="B18" s="5">
        <f>+COUNTIF(ZamanTablosu[Kategori],"Frontend")</f>
        <v>7</v>
      </c>
      <c r="C18" s="5"/>
      <c r="D18" s="5"/>
      <c r="E18" s="4"/>
      <c r="F18" s="17"/>
      <c r="G18" s="5"/>
      <c r="I18" t="s">
        <v>120</v>
      </c>
      <c r="J18">
        <f>AVERAGE(G10:G13)</f>
        <v>7712.5</v>
      </c>
    </row>
    <row r="19" spans="1:10">
      <c r="A19" s="16" t="s">
        <v>95</v>
      </c>
      <c r="B19" s="5">
        <f>+COUNTIF(ZamanTablosu[Çalışan Saat],"&gt;15")</f>
        <v>2</v>
      </c>
      <c r="C19" s="5"/>
      <c r="D19" s="5"/>
      <c r="E19" s="4"/>
      <c r="F19" s="17"/>
      <c r="G19" s="5"/>
      <c r="I19" t="s">
        <v>121</v>
      </c>
      <c r="J19">
        <f>COUNTA(A10:A13)</f>
        <v>4</v>
      </c>
    </row>
    <row r="20" spans="1:10">
      <c r="A20" s="16" t="s">
        <v>96</v>
      </c>
      <c r="B20" s="5">
        <f>+COUNTIFS(ZamanTablosu[Tarih],"Ocak",ZamanTablosu[Kategori],"Backend")</f>
        <v>2</v>
      </c>
      <c r="C20" s="5"/>
      <c r="D20" s="5"/>
      <c r="E20" s="4"/>
      <c r="F20" s="17"/>
      <c r="G20" s="5"/>
    </row>
    <row r="21" spans="1:10">
      <c r="A21" s="21" t="s">
        <v>99</v>
      </c>
      <c r="B21" s="22">
        <f>+COUNTIF(GorevTablosu[Zorluk Seviyesi],"Yüksek")</f>
        <v>5</v>
      </c>
      <c r="C21" s="22"/>
      <c r="D21" s="22"/>
      <c r="E21" s="23"/>
      <c r="F21" s="24"/>
      <c r="G21" s="22"/>
      <c r="H21" s="3"/>
    </row>
    <row r="22" spans="1:10">
      <c r="A22" s="4"/>
      <c r="B22" s="4"/>
      <c r="C22" s="4"/>
      <c r="D22" s="4"/>
      <c r="E22" s="4"/>
      <c r="F22" s="4"/>
      <c r="G22" s="4"/>
    </row>
    <row r="23" spans="1:10">
      <c r="A23" s="14" t="s">
        <v>97</v>
      </c>
      <c r="B23" s="14"/>
      <c r="C23" s="14"/>
      <c r="D23" s="14"/>
      <c r="E23" s="14"/>
      <c r="F23" s="14"/>
      <c r="G23" s="14"/>
    </row>
    <row r="24" spans="1:10">
      <c r="A24" s="4" t="s">
        <v>98</v>
      </c>
      <c r="B24" s="4" t="s">
        <v>5</v>
      </c>
      <c r="C24" s="4"/>
      <c r="D24" s="4"/>
      <c r="E24" s="4"/>
      <c r="F24" s="4"/>
      <c r="G24" s="4"/>
    </row>
    <row r="25" spans="1:10">
      <c r="A25" s="6" t="s">
        <v>43</v>
      </c>
      <c r="B25" s="6" t="s">
        <v>44</v>
      </c>
      <c r="C25" s="6" t="s">
        <v>0</v>
      </c>
      <c r="D25" s="6" t="s">
        <v>1</v>
      </c>
      <c r="E25" s="6" t="s">
        <v>45</v>
      </c>
      <c r="F25" s="6" t="s">
        <v>2</v>
      </c>
      <c r="G25" s="6" t="s">
        <v>4</v>
      </c>
    </row>
    <row r="26" spans="1:10">
      <c r="A26" s="4" t="str" cm="1">
        <f t="array" ref="A26:G32">+_xlfn._xlws.FILTER(ZamanTablosu[],ZamanTablosu[Kategori]=B24)</f>
        <v>K001</v>
      </c>
      <c r="B26" s="4" t="str">
        <v>Ocak</v>
      </c>
      <c r="C26" s="4" t="str">
        <v>P001</v>
      </c>
      <c r="D26" s="4">
        <v>3</v>
      </c>
      <c r="E26" s="4" t="str">
        <v>Frontend</v>
      </c>
      <c r="F26" s="4">
        <v>200</v>
      </c>
      <c r="G26" s="4">
        <v>1200</v>
      </c>
    </row>
    <row r="27" spans="1:10">
      <c r="A27" s="4" t="str">
        <v>K003</v>
      </c>
      <c r="B27" s="4" t="str">
        <v xml:space="preserve">Mart </v>
      </c>
      <c r="C27" s="4" t="str">
        <v>P001</v>
      </c>
      <c r="D27" s="4">
        <v>2</v>
      </c>
      <c r="E27" s="4" t="str">
        <v>Frontend</v>
      </c>
      <c r="F27" s="4">
        <v>200</v>
      </c>
      <c r="G27" s="4">
        <v>1200</v>
      </c>
    </row>
    <row r="28" spans="1:10">
      <c r="A28" s="4" t="str">
        <v>K008</v>
      </c>
      <c r="B28" s="4" t="str">
        <v>Nisan</v>
      </c>
      <c r="C28" s="4" t="str">
        <v>P001</v>
      </c>
      <c r="D28" s="4">
        <v>4</v>
      </c>
      <c r="E28" s="4" t="str">
        <v>Frontend</v>
      </c>
      <c r="F28" s="4">
        <v>200</v>
      </c>
      <c r="G28" s="4">
        <v>1200</v>
      </c>
    </row>
    <row r="29" spans="1:10">
      <c r="A29" s="4" t="str">
        <v>K012</v>
      </c>
      <c r="B29" s="4" t="str">
        <v xml:space="preserve">Mart </v>
      </c>
      <c r="C29" s="4" t="str">
        <v>P007</v>
      </c>
      <c r="D29" s="4">
        <v>6</v>
      </c>
      <c r="E29" s="4" t="str">
        <v>Frontend</v>
      </c>
      <c r="F29" s="4">
        <v>200</v>
      </c>
      <c r="G29" s="4">
        <v>1400</v>
      </c>
    </row>
    <row r="30" spans="1:10">
      <c r="A30" s="4" t="str">
        <v>K013</v>
      </c>
      <c r="B30" s="4" t="str">
        <v xml:space="preserve">Mart </v>
      </c>
      <c r="C30" s="4" t="str">
        <v>P009</v>
      </c>
      <c r="D30" s="4">
        <v>3</v>
      </c>
      <c r="E30" s="4" t="str">
        <v>Frontend</v>
      </c>
      <c r="F30" s="4">
        <v>150</v>
      </c>
      <c r="G30" s="4">
        <v>650</v>
      </c>
    </row>
    <row r="31" spans="1:10">
      <c r="A31" s="4" t="str">
        <v>K019</v>
      </c>
      <c r="B31" s="4" t="str">
        <v>Mayıs</v>
      </c>
      <c r="C31" s="4" t="str">
        <v>P013</v>
      </c>
      <c r="D31" s="4">
        <v>3</v>
      </c>
      <c r="E31" s="4" t="str">
        <v>Frontend</v>
      </c>
      <c r="F31" s="4">
        <v>200</v>
      </c>
      <c r="G31" s="4">
        <v>350</v>
      </c>
    </row>
    <row r="32" spans="1:10">
      <c r="A32" s="4" t="str">
        <v>K025</v>
      </c>
      <c r="B32" s="4" t="str">
        <v>Mayıs</v>
      </c>
      <c r="C32" s="4" t="str">
        <v>P013</v>
      </c>
      <c r="D32" s="4">
        <v>6</v>
      </c>
      <c r="E32" s="4" t="str">
        <v>Frontend</v>
      </c>
      <c r="F32" s="4">
        <v>150</v>
      </c>
      <c r="G32" s="4">
        <v>350</v>
      </c>
    </row>
  </sheetData>
  <mergeCells count="1">
    <mergeCell ref="A23:G23"/>
  </mergeCells>
  <phoneticPr fontId="1" type="noConversion"/>
  <dataValidations count="1">
    <dataValidation type="list" allowBlank="1" showInputMessage="1" showErrorMessage="1" sqref="B24" xr:uid="{6FEDFD8F-7540-444F-80EC-0436C7039556}">
      <formula1>"Frontend,Backend,Veritabanı,Test,Tasarım"</formula1>
    </dataValidation>
  </dataValidation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C72B-7DF2-4A29-97D2-6AF9DADA95B8}">
  <dimension ref="A1:G37"/>
  <sheetViews>
    <sheetView tabSelected="1" topLeftCell="F1" zoomScale="71" workbookViewId="0">
      <selection activeCell="Y39" sqref="Y39"/>
    </sheetView>
  </sheetViews>
  <sheetFormatPr defaultRowHeight="14.4"/>
  <cols>
    <col min="1" max="1" width="28.6640625" customWidth="1"/>
    <col min="2" max="2" width="26.33203125" customWidth="1"/>
    <col min="3" max="3" width="13" customWidth="1"/>
    <col min="4" max="4" width="18.5546875" customWidth="1"/>
    <col min="5" max="5" width="16.6640625" customWidth="1"/>
    <col min="6" max="6" width="25.6640625" customWidth="1"/>
  </cols>
  <sheetData>
    <row r="1" spans="1:7">
      <c r="A1" s="11" t="s">
        <v>101</v>
      </c>
      <c r="B1" s="11"/>
      <c r="C1" s="11"/>
      <c r="D1" s="11"/>
      <c r="E1" s="11"/>
      <c r="F1" s="11"/>
      <c r="G1" s="11"/>
    </row>
    <row r="2" spans="1:7">
      <c r="A2" s="12" t="s">
        <v>102</v>
      </c>
      <c r="B2" s="12"/>
      <c r="C2" s="12"/>
      <c r="D2" s="12"/>
      <c r="E2" s="12"/>
      <c r="F2" s="12"/>
      <c r="G2" s="12"/>
    </row>
    <row r="4" spans="1:7">
      <c r="A4" s="13" t="s">
        <v>103</v>
      </c>
      <c r="B4" s="13"/>
      <c r="C4" s="13"/>
      <c r="D4" s="13"/>
      <c r="E4" s="13"/>
      <c r="F4" s="13"/>
      <c r="G4" s="13"/>
    </row>
    <row r="5" spans="1:7">
      <c r="A5" t="s">
        <v>104</v>
      </c>
      <c r="B5" s="9">
        <f>+SUM(ZamanTablosu[Toplam Maliyet])</f>
        <v>31850</v>
      </c>
    </row>
    <row r="6" spans="1:7">
      <c r="A6" t="s">
        <v>105</v>
      </c>
      <c r="B6">
        <f>+SUM(ZamanTablosu[Çalışan Saat])</f>
        <v>154</v>
      </c>
    </row>
    <row r="7" spans="1:7">
      <c r="A7" t="s">
        <v>106</v>
      </c>
      <c r="B7" s="9">
        <f>+AVERAGE(ZamanTablosu[Toplam Maliyet])</f>
        <v>1225</v>
      </c>
    </row>
    <row r="8" spans="1:7">
      <c r="A8" t="s">
        <v>107</v>
      </c>
      <c r="B8" s="9">
        <f>+MAX(ZamanTablosu[Toplam Maliyet])</f>
        <v>2800</v>
      </c>
    </row>
    <row r="10" spans="1:7">
      <c r="A10" s="13" t="s">
        <v>108</v>
      </c>
      <c r="B10" s="13"/>
      <c r="C10" s="13"/>
      <c r="D10" s="13"/>
      <c r="E10" s="13"/>
      <c r="F10" s="13"/>
      <c r="G10" s="13"/>
    </row>
    <row r="11" spans="1:7">
      <c r="A11" s="7" t="s">
        <v>109</v>
      </c>
      <c r="B11" s="7" t="s">
        <v>2</v>
      </c>
    </row>
    <row r="12" spans="1:7">
      <c r="A12" t="s">
        <v>5</v>
      </c>
      <c r="B12">
        <f>+SUMIF(ZamanTablosu[Kategori],A12,ZamanTablosu[Toplam Maliyet])</f>
        <v>6350</v>
      </c>
    </row>
    <row r="13" spans="1:7">
      <c r="A13" t="s">
        <v>7</v>
      </c>
      <c r="B13">
        <f>+SUMIF(ZamanTablosu[Kategori],A13,ZamanTablosu[Toplam Maliyet])</f>
        <v>17200</v>
      </c>
    </row>
    <row r="14" spans="1:7">
      <c r="A14" t="s">
        <v>8</v>
      </c>
      <c r="B14">
        <f>+SUMIF(ZamanTablosu[Kategori],A14,ZamanTablosu[Toplam Maliyet])</f>
        <v>2550</v>
      </c>
    </row>
    <row r="15" spans="1:7">
      <c r="A15" t="s">
        <v>9</v>
      </c>
      <c r="B15">
        <f>+SUMIF(ZamanTablosu[Kategori],A15,ZamanTablosu[Toplam Maliyet])</f>
        <v>4750</v>
      </c>
    </row>
    <row r="18" spans="1:7">
      <c r="A18" s="10" t="s">
        <v>110</v>
      </c>
      <c r="B18" s="10"/>
      <c r="C18" s="10"/>
      <c r="D18" s="10"/>
      <c r="E18" s="10"/>
      <c r="F18" s="10"/>
      <c r="G18" s="10"/>
    </row>
    <row r="19" spans="1:7">
      <c r="A19" s="8" t="s">
        <v>0</v>
      </c>
      <c r="B19" s="8" t="s">
        <v>1</v>
      </c>
      <c r="C19" s="8" t="s">
        <v>2</v>
      </c>
      <c r="D19" s="8" t="s">
        <v>45</v>
      </c>
      <c r="E19" s="8" t="s">
        <v>4</v>
      </c>
      <c r="F19" s="8" t="s">
        <v>50</v>
      </c>
      <c r="G19" s="8"/>
    </row>
    <row r="20" spans="1:7">
      <c r="A20" t="str" cm="1">
        <f t="array" ref="A20:F21">+_xlfn._xlws.FILTER(GorevTablosu[],GorevTablosu[Harcanan Bütçe (TL)]&gt;2000)</f>
        <v>P004</v>
      </c>
      <c r="B20" t="str">
        <v>API Entegrasyonu(Ödeme)</v>
      </c>
      <c r="C20" t="str">
        <v>Backend</v>
      </c>
      <c r="D20">
        <v>20</v>
      </c>
      <c r="E20" t="str">
        <v>Yüksek</v>
      </c>
      <c r="F20">
        <v>2500</v>
      </c>
    </row>
    <row r="21" spans="1:7">
      <c r="A21" t="str">
        <v>P014</v>
      </c>
      <c r="B21" t="str">
        <v>Arama Algoritması Yazımı</v>
      </c>
      <c r="C21" t="str">
        <v>Backend</v>
      </c>
      <c r="D21">
        <v>22</v>
      </c>
      <c r="E21" t="str">
        <v>Yüksek</v>
      </c>
      <c r="F21">
        <v>2800</v>
      </c>
    </row>
    <row r="24" spans="1:7">
      <c r="A24" s="10" t="s">
        <v>111</v>
      </c>
      <c r="B24" s="10"/>
      <c r="C24" s="10"/>
      <c r="D24" s="10"/>
      <c r="E24" s="10"/>
      <c r="F24" s="10"/>
      <c r="G24" s="10"/>
    </row>
    <row r="25" spans="1:7">
      <c r="A25" s="8" t="s">
        <v>112</v>
      </c>
      <c r="B25" s="8" t="s">
        <v>1</v>
      </c>
      <c r="C25" s="8" t="s">
        <v>2</v>
      </c>
      <c r="D25" s="8" t="s">
        <v>45</v>
      </c>
      <c r="E25" s="8" t="s">
        <v>4</v>
      </c>
      <c r="F25" s="8" t="s">
        <v>50</v>
      </c>
      <c r="G25" s="8"/>
    </row>
    <row r="26" spans="1:7">
      <c r="A26" t="str" cm="1">
        <f t="array" ref="A26:F37">+_xlfn._xlws.FILTER(GorevTablosu[],GorevTablosu[Tahmini Süre]&lt;17)</f>
        <v>P001</v>
      </c>
      <c r="B26" t="str">
        <v>Kullanıcı Kayıt Sayfası Kodlama</v>
      </c>
      <c r="C26" t="str">
        <v>Frontend</v>
      </c>
      <c r="D26">
        <v>12</v>
      </c>
      <c r="E26" t="str">
        <v xml:space="preserve">Orta </v>
      </c>
      <c r="F26">
        <v>1200</v>
      </c>
    </row>
    <row r="27" spans="1:7">
      <c r="A27" t="str">
        <v>P002</v>
      </c>
      <c r="B27" t="str">
        <v>Veritabanı Tablo Tasarımı</v>
      </c>
      <c r="C27" t="str">
        <v>Veritabanı</v>
      </c>
      <c r="D27">
        <v>8</v>
      </c>
      <c r="E27" t="str">
        <v xml:space="preserve">Orta </v>
      </c>
      <c r="F27">
        <v>850</v>
      </c>
    </row>
    <row r="28" spans="1:7">
      <c r="A28" t="str">
        <v>P003</v>
      </c>
      <c r="B28" t="str">
        <v>Ana Menü Tasarımı</v>
      </c>
      <c r="C28" t="str">
        <v>Tasarım</v>
      </c>
      <c r="D28">
        <v>5</v>
      </c>
      <c r="E28" t="str">
        <v>Düşük</v>
      </c>
      <c r="F28">
        <v>400</v>
      </c>
    </row>
    <row r="29" spans="1:7">
      <c r="A29" t="str">
        <v>P005</v>
      </c>
      <c r="B29" t="str">
        <v>Mobil Uygulama Logo Çizimi</v>
      </c>
      <c r="C29" t="str">
        <v>Tasarım</v>
      </c>
      <c r="D29">
        <v>4</v>
      </c>
      <c r="E29" t="str">
        <v>Düşük</v>
      </c>
      <c r="F29">
        <v>300</v>
      </c>
    </row>
    <row r="30" spans="1:7">
      <c r="A30" t="str">
        <v>P006</v>
      </c>
      <c r="B30" t="str">
        <v>Şifre Sıfırlama Fonksiyonu</v>
      </c>
      <c r="C30" t="str">
        <v>Backend</v>
      </c>
      <c r="D30">
        <v>10</v>
      </c>
      <c r="E30" t="str">
        <v xml:space="preserve">Orta </v>
      </c>
      <c r="F30">
        <v>1000</v>
      </c>
    </row>
    <row r="31" spans="1:7">
      <c r="A31" t="str">
        <v>P007</v>
      </c>
      <c r="B31" t="str">
        <v xml:space="preserve">Kullanıcı Profil Sayfası </v>
      </c>
      <c r="C31" t="str">
        <v>Frontend</v>
      </c>
      <c r="D31">
        <v>15</v>
      </c>
      <c r="E31" t="str">
        <v xml:space="preserve">Orta </v>
      </c>
      <c r="F31">
        <v>1400</v>
      </c>
    </row>
    <row r="32" spans="1:7">
      <c r="A32" t="str">
        <v>P009</v>
      </c>
      <c r="B32" t="str">
        <v>Dark Mode (Koyu Tema ) Yapımı</v>
      </c>
      <c r="C32" t="str">
        <v>Frontend</v>
      </c>
      <c r="D32">
        <v>7</v>
      </c>
      <c r="E32" t="str">
        <v>Düşük</v>
      </c>
      <c r="F32">
        <v>650</v>
      </c>
    </row>
    <row r="33" spans="1:6">
      <c r="A33" t="str">
        <v>P010</v>
      </c>
      <c r="B33" t="str">
        <v>Sunucu Konfigürasyonu</v>
      </c>
      <c r="C33" t="str">
        <v>Backend</v>
      </c>
      <c r="D33">
        <v>14</v>
      </c>
      <c r="E33" t="str">
        <v>Yüksek</v>
      </c>
      <c r="F33">
        <v>1800</v>
      </c>
    </row>
    <row r="34" spans="1:6">
      <c r="A34" t="str">
        <v>P011</v>
      </c>
      <c r="B34" t="str">
        <v>Hata Bildirim Sistemi</v>
      </c>
      <c r="C34" t="str">
        <v>Test</v>
      </c>
      <c r="D34">
        <v>6</v>
      </c>
      <c r="E34" t="str">
        <v xml:space="preserve">Orta </v>
      </c>
      <c r="F34">
        <v>500</v>
      </c>
    </row>
    <row r="35" spans="1:6">
      <c r="A35" t="str">
        <v>P012</v>
      </c>
      <c r="B35" t="str">
        <v>PDF Rapor Oluşturma Modülü</v>
      </c>
      <c r="C35" t="str">
        <v>Backend</v>
      </c>
      <c r="D35">
        <v>16</v>
      </c>
      <c r="E35" t="str">
        <v>Yüksek</v>
      </c>
      <c r="F35">
        <v>1900</v>
      </c>
    </row>
    <row r="36" spans="1:6">
      <c r="A36" t="str">
        <v>P013</v>
      </c>
      <c r="B36" t="str">
        <v>İletişim Formu Tasarımı</v>
      </c>
      <c r="C36" t="str">
        <v>Frontend</v>
      </c>
      <c r="D36">
        <v>4</v>
      </c>
      <c r="E36" t="str">
        <v>Düşük</v>
      </c>
      <c r="F36">
        <v>350</v>
      </c>
    </row>
    <row r="37" spans="1:6">
      <c r="A37" t="str">
        <v>P015</v>
      </c>
      <c r="B37" t="str">
        <v>Kullanım Kılavuzu Hazırlama</v>
      </c>
      <c r="C37" t="str">
        <v>Test</v>
      </c>
      <c r="D37">
        <v>5</v>
      </c>
      <c r="E37" t="str">
        <v>Düşük</v>
      </c>
      <c r="F37">
        <v>250</v>
      </c>
    </row>
  </sheetData>
  <mergeCells count="6">
    <mergeCell ref="A24:G24"/>
    <mergeCell ref="A1:G1"/>
    <mergeCell ref="A2:G2"/>
    <mergeCell ref="A4:G4"/>
    <mergeCell ref="A10:G10"/>
    <mergeCell ref="A18:G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Görev Kataloğu</vt:lpstr>
      <vt:lpstr>Zaman Kayıtları</vt:lpstr>
      <vt:lpstr>Analiz</vt:lpstr>
      <vt:lpstr>Yönetici Özeti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GÖNAY</dc:creator>
  <cp:lastModifiedBy>yaren gönay</cp:lastModifiedBy>
  <dcterms:created xsi:type="dcterms:W3CDTF">2015-06-05T18:17:20Z</dcterms:created>
  <dcterms:modified xsi:type="dcterms:W3CDTF">2026-04-05T18:07:47Z</dcterms:modified>
</cp:coreProperties>
</file>